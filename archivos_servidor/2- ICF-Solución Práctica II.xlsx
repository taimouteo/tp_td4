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oraula\Downloads\"/>
    </mc:Choice>
  </mc:AlternateContent>
  <xr:revisionPtr revIDLastSave="0" documentId="13_ncr:1_{00243783-FD37-41C8-A373-88C5185B371F}" xr6:coauthVersionLast="47" xr6:coauthVersionMax="47" xr10:uidLastSave="{00000000-0000-0000-0000-000000000000}"/>
  <bookViews>
    <workbookView xWindow="-120" yWindow="-120" windowWidth="29040" windowHeight="15720" activeTab="3" xr2:uid="{826B1678-3F52-4C68-96DB-3C044BF5CBBC}"/>
  </bookViews>
  <sheets>
    <sheet name="Ejercicio 1" sheetId="4" r:id="rId1"/>
    <sheet name="Ejercicio 2" sheetId="2" r:id="rId2"/>
    <sheet name="Ejercicio 3" sheetId="3" r:id="rId3"/>
    <sheet name="Ejercicio 4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" l="1"/>
  <c r="E5" i="4"/>
  <c r="D5" i="4"/>
  <c r="C5" i="4"/>
  <c r="G4" i="4"/>
  <c r="D8" i="4" s="1"/>
  <c r="C10" i="4" l="1"/>
  <c r="G5" i="4"/>
</calcChain>
</file>

<file path=xl/sharedStrings.xml><?xml version="1.0" encoding="utf-8"?>
<sst xmlns="http://schemas.openxmlformats.org/spreadsheetml/2006/main" count="154" uniqueCount="106">
  <si>
    <t>2)El centro logístico de “Njoy Tech”, prepara el envío de las computadoras, y carga el mismo en el transportista propio de Njoy.</t>
  </si>
  <si>
    <t>3)“FreeMarket S.R.L.” recibe una de las computadoras adquiridas con una falla en el sistema operativo y teclado, solicitando la devolución a “Njoy Tech S.A.”.</t>
  </si>
  <si>
    <t xml:space="preserve">10) “InsuTech” no encuentra el pago realizado por el 50% acordado, y le solicita información de respaldo para contabilizar el pago. </t>
  </si>
  <si>
    <t xml:space="preserve">11) El personal contable de la empresa deposita ARS 200.000 en efectivo, que se encontraba en caja chica por cobranzas recibidas en la cuenta Bancaria de la empresa. </t>
  </si>
  <si>
    <t>Elemento</t>
  </si>
  <si>
    <t>Recursos</t>
  </si>
  <si>
    <t>Fuente de Financiación propia</t>
  </si>
  <si>
    <t>Dinero en efectivo</t>
  </si>
  <si>
    <t>x</t>
  </si>
  <si>
    <t>Camisas para la venta</t>
  </si>
  <si>
    <t>Cuentas a pagar a los proveedores</t>
  </si>
  <si>
    <t>Aporte efectuado por los socios al inicio de la vida del ente</t>
  </si>
  <si>
    <t>Préstamo recibido de un banco</t>
  </si>
  <si>
    <t>Máquina utilizada para cortar la tela para confeccionar camisas</t>
  </si>
  <si>
    <t>Moldes para el diseño de las camisas</t>
  </si>
  <si>
    <t>Préstamo recibido de un socio</t>
  </si>
  <si>
    <t>Vehículo utilizado por los vendedores</t>
  </si>
  <si>
    <t>Sueldos impagos al personal</t>
  </si>
  <si>
    <t>Piezas de tela</t>
  </si>
  <si>
    <t>Impuestos abonados por anticipado</t>
  </si>
  <si>
    <t>Tenencia de acciones emitidas por otros entes</t>
  </si>
  <si>
    <t>Cuentas a cobrar por ventas</t>
  </si>
  <si>
    <t>Préstamos otorgados al personal</t>
  </si>
  <si>
    <t>Impuestos vencidos impagos</t>
  </si>
  <si>
    <t>Facturas impagas por servicios de luz y gas</t>
  </si>
  <si>
    <t>ELEMENTO</t>
  </si>
  <si>
    <t>PARTIDA</t>
  </si>
  <si>
    <t>Acciones en circulación</t>
  </si>
  <si>
    <t xml:space="preserve"> PN</t>
  </si>
  <si>
    <t>Dinero en cuenta corriente bancaria</t>
  </si>
  <si>
    <t>Activo</t>
  </si>
  <si>
    <t>Caja y Bancos</t>
  </si>
  <si>
    <t>Pasivo</t>
  </si>
  <si>
    <t>Cheque depositado en cuenta corriente</t>
  </si>
  <si>
    <t>Préstamo tomado en Banco Santander</t>
  </si>
  <si>
    <t>Compra de cajas para envíos</t>
  </si>
  <si>
    <t>Bienes de Cambio</t>
  </si>
  <si>
    <t>Maquinaria adquirida para envío</t>
  </si>
  <si>
    <t>Bienes de Uso</t>
  </si>
  <si>
    <t xml:space="preserve">Insumos adeudados a proveedor </t>
  </si>
  <si>
    <t>Software para tracking de pedidos</t>
  </si>
  <si>
    <t>Cargas fiscales</t>
  </si>
  <si>
    <t>Camisas en stock</t>
  </si>
  <si>
    <t>Saldo a favor del impuesto a los Ingresos Brutos</t>
  </si>
  <si>
    <t>Saldo a pagar del Impuesto al Valor Agregado</t>
  </si>
  <si>
    <t>Camioneta personal del gerente -</t>
  </si>
  <si>
    <t>N/A</t>
  </si>
  <si>
    <t>Abril</t>
  </si>
  <si>
    <t>Mayo</t>
  </si>
  <si>
    <t xml:space="preserve">Junio </t>
  </si>
  <si>
    <t>Julio</t>
  </si>
  <si>
    <t xml:space="preserve">Agosto </t>
  </si>
  <si>
    <t>Total</t>
  </si>
  <si>
    <t>Devengado</t>
  </si>
  <si>
    <t>Percibido</t>
  </si>
  <si>
    <t xml:space="preserve">b) Resuelto en flujo de fondos </t>
  </si>
  <si>
    <r>
      <t xml:space="preserve">Respuesta: 
</t>
    </r>
    <r>
      <rPr>
        <u/>
        <sz val="11"/>
        <color theme="1"/>
        <rFont val="Calibri"/>
        <family val="2"/>
        <scheme val="minor"/>
      </rPr>
      <t>Documentación respaldatoria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 xml:space="preserve">Remito
</t>
    </r>
    <r>
      <rPr>
        <u/>
        <sz val="11"/>
        <color theme="1"/>
        <rFont val="Calibri"/>
        <family val="2"/>
        <scheme val="minor"/>
      </rPr>
      <t>Emisor</t>
    </r>
    <r>
      <rPr>
        <b/>
        <sz val="11"/>
        <color theme="1"/>
        <rFont val="Calibri"/>
        <family val="2"/>
        <scheme val="minor"/>
      </rPr>
      <t xml:space="preserve">: Njoy Tech
</t>
    </r>
    <r>
      <rPr>
        <u/>
        <sz val="11"/>
        <color theme="1"/>
        <rFont val="Calibri"/>
        <family val="2"/>
        <scheme val="minor"/>
      </rPr>
      <t>Receptor</t>
    </r>
    <r>
      <rPr>
        <b/>
        <sz val="11"/>
        <color theme="1"/>
        <rFont val="Calibri"/>
        <family val="2"/>
        <scheme val="minor"/>
      </rPr>
      <t xml:space="preserve">: FreeMarket S.R.L.
</t>
    </r>
    <r>
      <rPr>
        <u/>
        <sz val="11"/>
        <color theme="1"/>
        <rFont val="Calibri"/>
        <family val="2"/>
        <scheme val="minor"/>
      </rPr>
      <t>Monto</t>
    </r>
    <r>
      <rPr>
        <b/>
        <sz val="11"/>
        <color theme="1"/>
        <rFont val="Calibri"/>
        <family val="2"/>
        <scheme val="minor"/>
      </rPr>
      <t>: -</t>
    </r>
  </si>
  <si>
    <r>
      <t xml:space="preserve">Respuesta: 
</t>
    </r>
    <r>
      <rPr>
        <u/>
        <sz val="11"/>
        <color theme="1"/>
        <rFont val="Calibri"/>
        <family val="2"/>
        <scheme val="minor"/>
      </rPr>
      <t>Documentación respaldatoria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 xml:space="preserve">Factura de Compra
</t>
    </r>
    <r>
      <rPr>
        <u/>
        <sz val="11"/>
        <color theme="1"/>
        <rFont val="Calibri"/>
        <family val="2"/>
        <scheme val="minor"/>
      </rPr>
      <t>Emisor</t>
    </r>
    <r>
      <rPr>
        <b/>
        <sz val="11"/>
        <color theme="1"/>
        <rFont val="Calibri"/>
        <family val="2"/>
        <scheme val="minor"/>
      </rPr>
      <t xml:space="preserve">: Insurtech S-A
</t>
    </r>
    <r>
      <rPr>
        <u/>
        <sz val="11"/>
        <color theme="1"/>
        <rFont val="Calibri"/>
        <family val="2"/>
        <scheme val="minor"/>
      </rPr>
      <t>Receptor</t>
    </r>
    <r>
      <rPr>
        <b/>
        <sz val="11"/>
        <color theme="1"/>
        <rFont val="Calibri"/>
        <family val="2"/>
        <scheme val="minor"/>
      </rPr>
      <t xml:space="preserve">: Njoy Tech
</t>
    </r>
    <r>
      <rPr>
        <u/>
        <sz val="11"/>
        <color theme="1"/>
        <rFont val="Calibri"/>
        <family val="2"/>
        <scheme val="minor"/>
      </rPr>
      <t>Monto</t>
    </r>
    <r>
      <rPr>
        <b/>
        <sz val="11"/>
        <color theme="1"/>
        <rFont val="Calibri"/>
        <family val="2"/>
        <scheme val="minor"/>
      </rPr>
      <t>: ARS 100.000</t>
    </r>
  </si>
  <si>
    <r>
      <t xml:space="preserve">Respuesta: 
</t>
    </r>
    <r>
      <rPr>
        <u/>
        <sz val="11"/>
        <color theme="1"/>
        <rFont val="Calibri"/>
        <family val="2"/>
        <scheme val="minor"/>
      </rPr>
      <t>Documentación respaldatoria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 xml:space="preserve">Pagaré
</t>
    </r>
    <r>
      <rPr>
        <u/>
        <sz val="11"/>
        <color theme="1"/>
        <rFont val="Calibri"/>
        <family val="2"/>
        <scheme val="minor"/>
      </rPr>
      <t>Emisor</t>
    </r>
    <r>
      <rPr>
        <b/>
        <sz val="11"/>
        <color theme="1"/>
        <rFont val="Calibri"/>
        <family val="2"/>
        <scheme val="minor"/>
      </rPr>
      <t xml:space="preserve">: Njoy Tech
</t>
    </r>
    <r>
      <rPr>
        <u/>
        <sz val="11"/>
        <color theme="1"/>
        <rFont val="Calibri"/>
        <family val="2"/>
        <scheme val="minor"/>
      </rPr>
      <t>Receptor</t>
    </r>
    <r>
      <rPr>
        <b/>
        <sz val="11"/>
        <color theme="1"/>
        <rFont val="Calibri"/>
        <family val="2"/>
        <scheme val="minor"/>
      </rPr>
      <t xml:space="preserve">: Propietario Oficinas
</t>
    </r>
    <r>
      <rPr>
        <u/>
        <sz val="11"/>
        <color theme="1"/>
        <rFont val="Calibri"/>
        <family val="2"/>
        <scheme val="minor"/>
      </rPr>
      <t>Monto</t>
    </r>
    <r>
      <rPr>
        <b/>
        <sz val="11"/>
        <color theme="1"/>
        <rFont val="Calibri"/>
        <family val="2"/>
        <scheme val="minor"/>
      </rPr>
      <t>: -</t>
    </r>
  </si>
  <si>
    <r>
      <t xml:space="preserve">Respuesta: 
</t>
    </r>
    <r>
      <rPr>
        <u/>
        <sz val="11"/>
        <color theme="1"/>
        <rFont val="Calibri"/>
        <family val="2"/>
        <scheme val="minor"/>
      </rPr>
      <t>Documentación respaldatoria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 xml:space="preserve">Comprobante de Transferencia / Extracto bancario
</t>
    </r>
    <r>
      <rPr>
        <u/>
        <sz val="11"/>
        <color theme="1"/>
        <rFont val="Calibri"/>
        <family val="2"/>
        <scheme val="minor"/>
      </rPr>
      <t>Emisor</t>
    </r>
    <r>
      <rPr>
        <b/>
        <sz val="11"/>
        <color theme="1"/>
        <rFont val="Calibri"/>
        <family val="2"/>
        <scheme val="minor"/>
      </rPr>
      <t xml:space="preserve">: Njoy Tech 
</t>
    </r>
    <r>
      <rPr>
        <u/>
        <sz val="11"/>
        <color theme="1"/>
        <rFont val="Calibri"/>
        <family val="2"/>
        <scheme val="minor"/>
      </rPr>
      <t>Receptor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Insutech S-A
</t>
    </r>
    <r>
      <rPr>
        <u/>
        <sz val="11"/>
        <color theme="1"/>
        <rFont val="Calibri"/>
        <family val="2"/>
        <scheme val="minor"/>
      </rPr>
      <t>Monto</t>
    </r>
    <r>
      <rPr>
        <b/>
        <sz val="11"/>
        <color theme="1"/>
        <rFont val="Calibri"/>
        <family val="2"/>
        <scheme val="minor"/>
      </rPr>
      <t>: ARS 50.000</t>
    </r>
  </si>
  <si>
    <t>Otros créditos</t>
  </si>
  <si>
    <t>Capital suscripto</t>
  </si>
  <si>
    <t>Créditos por Ventas</t>
  </si>
  <si>
    <t>Remuneraciones y Cs. Sociales</t>
  </si>
  <si>
    <t>Activos Intangibles</t>
  </si>
  <si>
    <t>Cuentas por pagar</t>
  </si>
  <si>
    <t>Anticipo de clientes</t>
  </si>
  <si>
    <r>
      <t xml:space="preserve">Respuesta: 
</t>
    </r>
    <r>
      <rPr>
        <u/>
        <sz val="11"/>
        <color theme="1"/>
        <rFont val="Calibri"/>
        <family val="2"/>
        <scheme val="minor"/>
      </rPr>
      <t>Documentación respaldatoria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 xml:space="preserve">Factura de Venta 
</t>
    </r>
    <r>
      <rPr>
        <u/>
        <sz val="11"/>
        <color theme="1"/>
        <rFont val="Calibri"/>
        <family val="2"/>
        <scheme val="minor"/>
      </rPr>
      <t>Emisor</t>
    </r>
    <r>
      <rPr>
        <b/>
        <sz val="11"/>
        <color theme="1"/>
        <rFont val="Calibri"/>
        <family val="2"/>
        <scheme val="minor"/>
      </rPr>
      <t xml:space="preserve">: Njoy Tech
</t>
    </r>
    <r>
      <rPr>
        <u/>
        <sz val="11"/>
        <color theme="1"/>
        <rFont val="Calibri"/>
        <family val="2"/>
        <scheme val="minor"/>
      </rPr>
      <t>Receptor</t>
    </r>
    <r>
      <rPr>
        <b/>
        <sz val="11"/>
        <color theme="1"/>
        <rFont val="Calibri"/>
        <family val="2"/>
        <scheme val="minor"/>
      </rPr>
      <t xml:space="preserve">: FreeMarket S.R.L.
</t>
    </r>
    <r>
      <rPr>
        <u/>
        <sz val="11"/>
        <color theme="1"/>
        <rFont val="Calibri"/>
        <family val="2"/>
        <scheme val="minor"/>
      </rPr>
      <t>Monto</t>
    </r>
    <r>
      <rPr>
        <b/>
        <sz val="11"/>
        <color theme="1"/>
        <rFont val="Calibri"/>
        <family val="2"/>
        <scheme val="minor"/>
      </rPr>
      <t>: ARS 180.000.000</t>
    </r>
  </si>
  <si>
    <r>
      <t xml:space="preserve">Respuesta: 
</t>
    </r>
    <r>
      <rPr>
        <u/>
        <sz val="11"/>
        <color theme="1"/>
        <rFont val="Calibri"/>
        <family val="2"/>
        <scheme val="minor"/>
      </rPr>
      <t>Documentación respaldatoria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 xml:space="preserve">Nota de Crédito
</t>
    </r>
    <r>
      <rPr>
        <u/>
        <sz val="11"/>
        <color theme="1"/>
        <rFont val="Calibri"/>
        <family val="2"/>
        <scheme val="minor"/>
      </rPr>
      <t>Emisor</t>
    </r>
    <r>
      <rPr>
        <b/>
        <sz val="11"/>
        <color theme="1"/>
        <rFont val="Calibri"/>
        <family val="2"/>
        <scheme val="minor"/>
      </rPr>
      <t xml:space="preserve">: Njoy Tech
</t>
    </r>
    <r>
      <rPr>
        <u/>
        <sz val="11"/>
        <color theme="1"/>
        <rFont val="Calibri"/>
        <family val="2"/>
        <scheme val="minor"/>
      </rPr>
      <t>Receptor</t>
    </r>
    <r>
      <rPr>
        <b/>
        <sz val="11"/>
        <color theme="1"/>
        <rFont val="Calibri"/>
        <family val="2"/>
        <scheme val="minor"/>
      </rPr>
      <t xml:space="preserve">: FreeMarket S.R.L.
</t>
    </r>
    <r>
      <rPr>
        <u/>
        <sz val="11"/>
        <color theme="1"/>
        <rFont val="Calibri"/>
        <family val="2"/>
        <scheme val="minor"/>
      </rPr>
      <t>Monto</t>
    </r>
    <r>
      <rPr>
        <b/>
        <sz val="11"/>
        <color theme="1"/>
        <rFont val="Calibri"/>
        <family val="2"/>
        <scheme val="minor"/>
      </rPr>
      <t>: ARS 1.800.000</t>
    </r>
  </si>
  <si>
    <t xml:space="preserve">1)El 20 de julio de 2025, la empresa “Njoy Tech”, vende a “FreeMarket S.R.L.” 100 computadoras a ARS 1.800.000 cada una a plazo de 30 días. </t>
  </si>
  <si>
    <t>4) El 19 de agosto de 2025, “FreeMarket S.R.L”, abona la suma de 75 computadoras vía transferencia del Banco BBVA.</t>
  </si>
  <si>
    <t>6) A causa de no haber abonado la totalidad del pedido en tiempo y forma, y de acuerdo con el contrato de crédito firmado entre Cliente-Proveedor, se le cobra un 0,2% diario sobre lo adeudado emitiendo el formulario correspondiente.</t>
  </si>
  <si>
    <t>7) El 23 de agosto de 2025, “Njoy Tech” realiza una venta minorista de una unidad de la PC Gamer “Njoy Tech Plus”, por ARS 2.000.000 a un consumidor final</t>
  </si>
  <si>
    <r>
      <t xml:space="preserve">Respuesta: 
</t>
    </r>
    <r>
      <rPr>
        <u/>
        <sz val="11"/>
        <color theme="1"/>
        <rFont val="Calibri"/>
        <family val="2"/>
        <scheme val="minor"/>
      </rPr>
      <t>Documentación respaldatoria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 xml:space="preserve">Factura de Venta / Ticket
</t>
    </r>
    <r>
      <rPr>
        <u/>
        <sz val="11"/>
        <color theme="1"/>
        <rFont val="Calibri"/>
        <family val="2"/>
        <scheme val="minor"/>
      </rPr>
      <t>Emisor</t>
    </r>
    <r>
      <rPr>
        <b/>
        <sz val="11"/>
        <color theme="1"/>
        <rFont val="Calibri"/>
        <family val="2"/>
        <scheme val="minor"/>
      </rPr>
      <t xml:space="preserve">: Njoy Tech
</t>
    </r>
    <r>
      <rPr>
        <u/>
        <sz val="11"/>
        <color theme="1"/>
        <rFont val="Calibri"/>
        <family val="2"/>
        <scheme val="minor"/>
      </rPr>
      <t>Receptor</t>
    </r>
    <r>
      <rPr>
        <b/>
        <sz val="11"/>
        <color theme="1"/>
        <rFont val="Calibri"/>
        <family val="2"/>
        <scheme val="minor"/>
      </rPr>
      <t xml:space="preserve">: Consumidor Final 
</t>
    </r>
    <r>
      <rPr>
        <u/>
        <sz val="11"/>
        <color theme="1"/>
        <rFont val="Calibri"/>
        <family val="2"/>
        <scheme val="minor"/>
      </rPr>
      <t>Monto</t>
    </r>
    <r>
      <rPr>
        <b/>
        <sz val="11"/>
        <color theme="1"/>
        <rFont val="Calibri"/>
        <family val="2"/>
        <scheme val="minor"/>
      </rPr>
      <t>: ARS 2.000.000</t>
    </r>
  </si>
  <si>
    <t>8) Días más tarde, se realiza la compra de insumos para la fabricación por ARS 100.000, abonando el 50% con una transferencia y el  50% restante a 15 días en cuenta corriente a “InsuTech S-A.”</t>
  </si>
  <si>
    <t xml:space="preserve">9) “Njoy Tech” alquila nuevas oficinas administrativas en el barrio de Palermo. No teniendo posibilidad de dejar garantía societaria, elabora un compromiso de pago futuro. </t>
  </si>
  <si>
    <r>
      <t xml:space="preserve">Respuesta: 
</t>
    </r>
    <r>
      <rPr>
        <u/>
        <sz val="11"/>
        <color theme="1"/>
        <rFont val="Calibri"/>
        <family val="2"/>
        <scheme val="minor"/>
      </rPr>
      <t>Documentación respaldatoria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 xml:space="preserve">Comprobante de depósito
</t>
    </r>
    <r>
      <rPr>
        <u/>
        <sz val="11"/>
        <color theme="1"/>
        <rFont val="Calibri"/>
        <family val="2"/>
        <scheme val="minor"/>
      </rPr>
      <t>Emisor</t>
    </r>
    <r>
      <rPr>
        <b/>
        <sz val="11"/>
        <color theme="1"/>
        <rFont val="Calibri"/>
        <family val="2"/>
        <scheme val="minor"/>
      </rPr>
      <t xml:space="preserve">: -
</t>
    </r>
    <r>
      <rPr>
        <u/>
        <sz val="11"/>
        <color theme="1"/>
        <rFont val="Calibri"/>
        <family val="2"/>
        <scheme val="minor"/>
      </rPr>
      <t>Receptor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-</t>
    </r>
    <r>
      <rPr>
        <b/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Monto</t>
    </r>
    <r>
      <rPr>
        <b/>
        <sz val="11"/>
        <color theme="1"/>
        <rFont val="Calibri"/>
        <family val="2"/>
        <scheme val="minor"/>
      </rPr>
      <t>: ARS 200.000</t>
    </r>
  </si>
  <si>
    <t>Ejercicio 1</t>
  </si>
  <si>
    <t>5) El 22 de agosto, tres días luego de la fecha establecida de vencimiento, “FreeMarket” abona la suma restante por las computadoras vendidas vía cheque del Banco BBVA al día.</t>
  </si>
  <si>
    <t>Ejercicio 2</t>
  </si>
  <si>
    <t>d) En el Estado de Situación Patrimonial, rubro Créditos por ventas.</t>
  </si>
  <si>
    <t>a) Ventas devengadas del trimeste        ==&gt;</t>
  </si>
  <si>
    <t>c) Se han cobrado      ==&gt;</t>
  </si>
  <si>
    <t>Identificar recursos, fuentes de financiación externa e interna.</t>
  </si>
  <si>
    <t>Fuente de Financiación Terceros</t>
  </si>
  <si>
    <t>Marca (comprada) de los bienes que comercializa la empresa</t>
  </si>
  <si>
    <t>Ejercicio 3</t>
  </si>
  <si>
    <t xml:space="preserve">RUBRO </t>
  </si>
  <si>
    <t>Cuentas a cobrar a clientes corporativos</t>
  </si>
  <si>
    <t xml:space="preserve">Sueldos y cargas sociales pendientes de pago </t>
  </si>
  <si>
    <t>Pago realizado con anterioridad al vencimiento de la factura de luz y gas</t>
  </si>
  <si>
    <t>Anticipo de clientes por pedidos no entregados</t>
  </si>
  <si>
    <t>Sillas y escritorios de oficina</t>
  </si>
  <si>
    <t>Previsiones</t>
  </si>
  <si>
    <t>Transferencia recibida por venta de servicios</t>
  </si>
  <si>
    <t>Marca comercial autogenerada</t>
  </si>
  <si>
    <t>Compra de etiquetas autoadhesivas para envíos</t>
  </si>
  <si>
    <t>Camioneta Hilux SV 567 utilizada para reparto</t>
  </si>
  <si>
    <t>Cobranza acreditada por venta en el día</t>
  </si>
  <si>
    <t>Dinero para gastos menores</t>
  </si>
  <si>
    <t>Informe del abogado con monto a pagar por litigio con empleado</t>
  </si>
  <si>
    <t>Njoy Tech S.A”, fabricante y comercializadora de computadoras, realiza distintas operaciones. Identificar la documentación de respaldo utilizada en cada caso.</t>
  </si>
  <si>
    <t>Préstamos</t>
  </si>
  <si>
    <r>
      <t xml:space="preserve">Respuesta: 
</t>
    </r>
    <r>
      <rPr>
        <u/>
        <sz val="11"/>
        <color theme="1"/>
        <rFont val="Calibri"/>
        <family val="2"/>
        <scheme val="minor"/>
      </rPr>
      <t>Documentación respaldatoria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 xml:space="preserve">Recibo de cobranza / Comprobante de transferencia
</t>
    </r>
    <r>
      <rPr>
        <u/>
        <sz val="11"/>
        <color theme="1"/>
        <rFont val="Calibri"/>
        <family val="2"/>
        <scheme val="minor"/>
      </rPr>
      <t>Emisor</t>
    </r>
    <r>
      <rPr>
        <b/>
        <sz val="11"/>
        <color theme="1"/>
        <rFont val="Calibri"/>
        <family val="2"/>
        <scheme val="minor"/>
      </rPr>
      <t xml:space="preserve">: Njoy Tech (Recibo)/ FreeMarket S.R.L. (Comp. Transferencia)
</t>
    </r>
    <r>
      <rPr>
        <u/>
        <sz val="11"/>
        <color theme="1"/>
        <rFont val="Calibri"/>
        <family val="2"/>
        <scheme val="minor"/>
      </rPr>
      <t>Receptor</t>
    </r>
    <r>
      <rPr>
        <b/>
        <sz val="11"/>
        <color theme="1"/>
        <rFont val="Calibri"/>
        <family val="2"/>
        <scheme val="minor"/>
      </rPr>
      <t xml:space="preserve">: FreeMarket S.R.L (Recibo) / Njoy Tech (Comp. Transferencia)
</t>
    </r>
    <r>
      <rPr>
        <u/>
        <sz val="11"/>
        <color theme="1"/>
        <rFont val="Calibri"/>
        <family val="2"/>
        <scheme val="minor"/>
      </rPr>
      <t>Monto</t>
    </r>
    <r>
      <rPr>
        <b/>
        <sz val="11"/>
        <color theme="1"/>
        <rFont val="Calibri"/>
        <family val="2"/>
        <scheme val="minor"/>
      </rPr>
      <t>: ARS 135.000.000</t>
    </r>
  </si>
  <si>
    <r>
      <t xml:space="preserve">Respuesta: 
</t>
    </r>
    <r>
      <rPr>
        <u/>
        <sz val="11"/>
        <color theme="1"/>
        <rFont val="Calibri"/>
        <family val="2"/>
        <scheme val="minor"/>
      </rPr>
      <t>Documentación respaldatoria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 xml:space="preserve">Cheque
</t>
    </r>
    <r>
      <rPr>
        <u/>
        <sz val="11"/>
        <color theme="1"/>
        <rFont val="Calibri"/>
        <family val="2"/>
        <scheme val="minor"/>
      </rPr>
      <t>Emisor</t>
    </r>
    <r>
      <rPr>
        <b/>
        <sz val="11"/>
        <color theme="1"/>
        <rFont val="Calibri"/>
        <family val="2"/>
        <scheme val="minor"/>
      </rPr>
      <t xml:space="preserve">: FreeMarket S.R.L. 
</t>
    </r>
    <r>
      <rPr>
        <u/>
        <sz val="11"/>
        <color theme="1"/>
        <rFont val="Calibri"/>
        <family val="2"/>
        <scheme val="minor"/>
      </rPr>
      <t>Receptor</t>
    </r>
    <r>
      <rPr>
        <b/>
        <sz val="11"/>
        <color theme="1"/>
        <rFont val="Calibri"/>
        <family val="2"/>
        <scheme val="minor"/>
      </rPr>
      <t xml:space="preserve">: Njoy Tech
</t>
    </r>
    <r>
      <rPr>
        <u/>
        <sz val="11"/>
        <color theme="1"/>
        <rFont val="Calibri"/>
        <family val="2"/>
        <scheme val="minor"/>
      </rPr>
      <t>Monto</t>
    </r>
    <r>
      <rPr>
        <b/>
        <sz val="11"/>
        <color theme="1"/>
        <rFont val="Calibri"/>
        <family val="2"/>
        <scheme val="minor"/>
      </rPr>
      <t>: ARS 45.000.000 (ARS 43.200.000 si se excluye la computadora devuelta)</t>
    </r>
  </si>
  <si>
    <r>
      <t xml:space="preserve">Respuesta: 
</t>
    </r>
    <r>
      <rPr>
        <u/>
        <sz val="11"/>
        <color theme="1"/>
        <rFont val="Calibri"/>
        <family val="2"/>
        <scheme val="minor"/>
      </rPr>
      <t>Documentación respaldatoria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 xml:space="preserve">Nota de Débito
</t>
    </r>
    <r>
      <rPr>
        <u/>
        <sz val="11"/>
        <color theme="1"/>
        <rFont val="Calibri"/>
        <family val="2"/>
        <scheme val="minor"/>
      </rPr>
      <t>Emisor</t>
    </r>
    <r>
      <rPr>
        <b/>
        <sz val="11"/>
        <color theme="1"/>
        <rFont val="Calibri"/>
        <family val="2"/>
        <scheme val="minor"/>
      </rPr>
      <t xml:space="preserve">: Njoy Tech
</t>
    </r>
    <r>
      <rPr>
        <u/>
        <sz val="11"/>
        <color theme="1"/>
        <rFont val="Calibri"/>
        <family val="2"/>
        <scheme val="minor"/>
      </rPr>
      <t>Receptor</t>
    </r>
    <r>
      <rPr>
        <b/>
        <sz val="11"/>
        <color theme="1"/>
        <rFont val="Calibri"/>
        <family val="2"/>
        <scheme val="minor"/>
      </rPr>
      <t xml:space="preserve">: FreeMarket S.R.L. 
</t>
    </r>
    <r>
      <rPr>
        <u/>
        <sz val="11"/>
        <color theme="1"/>
        <rFont val="Calibri"/>
        <family val="2"/>
        <scheme val="minor"/>
      </rPr>
      <t>Monto</t>
    </r>
    <r>
      <rPr>
        <b/>
        <sz val="11"/>
        <color theme="1"/>
        <rFont val="Calibri"/>
        <family val="2"/>
        <scheme val="minor"/>
      </rPr>
      <t>: ARS 270.000 (ARS 259.200 si se excluye la computadora devuelta)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</si>
</sst>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1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thin">
        <color rgb="FF000000"/>
      </bottom>
      <diagonal/>
    </border>
    <border>
      <left style="medium">
        <color rgb="FF0070C0"/>
      </left>
      <right/>
      <top style="medium">
        <color rgb="FF0070C0"/>
      </top>
      <bottom style="thin">
        <color rgb="FF00000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thin">
        <color rgb="FF000000"/>
      </bottom>
      <diagonal/>
    </border>
    <border>
      <left style="medium">
        <color rgb="FF0070C0"/>
      </left>
      <right/>
      <top style="thin">
        <color rgb="FF000000"/>
      </top>
      <bottom style="dotted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000000"/>
      </top>
      <bottom style="dotted">
        <color rgb="FF0070C0"/>
      </bottom>
      <diagonal/>
    </border>
    <border>
      <left/>
      <right style="medium">
        <color rgb="FF0070C0"/>
      </right>
      <top style="thin">
        <color rgb="FF000000"/>
      </top>
      <bottom style="dotted">
        <color rgb="FF0070C0"/>
      </bottom>
      <diagonal/>
    </border>
    <border>
      <left style="medium">
        <color rgb="FF0070C0"/>
      </left>
      <right/>
      <top style="dotted">
        <color rgb="FF0070C0"/>
      </top>
      <bottom style="dotted">
        <color rgb="FF0070C0"/>
      </bottom>
      <diagonal/>
    </border>
    <border>
      <left style="medium">
        <color rgb="FF0070C0"/>
      </left>
      <right style="medium">
        <color rgb="FF0070C0"/>
      </right>
      <top style="dotted">
        <color rgb="FF0070C0"/>
      </top>
      <bottom style="dotted">
        <color rgb="FF0070C0"/>
      </bottom>
      <diagonal/>
    </border>
    <border>
      <left/>
      <right style="medium">
        <color rgb="FF0070C0"/>
      </right>
      <top style="dotted">
        <color rgb="FF0070C0"/>
      </top>
      <bottom style="dotted">
        <color rgb="FF0070C0"/>
      </bottom>
      <diagonal/>
    </border>
    <border>
      <left style="medium">
        <color rgb="FF0070C0"/>
      </left>
      <right/>
      <top style="dotted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dotted">
        <color rgb="FF0070C0"/>
      </top>
      <bottom style="medium">
        <color rgb="FF0070C0"/>
      </bottom>
      <diagonal/>
    </border>
    <border>
      <left/>
      <right style="medium">
        <color rgb="FF0070C0"/>
      </right>
      <top style="dotted">
        <color rgb="FF0070C0"/>
      </top>
      <bottom style="medium">
        <color rgb="FF0070C0"/>
      </bottom>
      <diagonal/>
    </border>
    <border>
      <left/>
      <right/>
      <top/>
      <bottom style="dotted">
        <color rgb="FF0070C0"/>
      </bottom>
      <diagonal/>
    </border>
    <border>
      <left/>
      <right/>
      <top style="dotted">
        <color rgb="FF0070C0"/>
      </top>
      <bottom/>
      <diagonal/>
    </border>
  </borders>
  <cellStyleXfs count="3">
    <xf numFmtId="0" fontId="0" fillId="0" borderId="0"/>
    <xf numFmtId="0" fontId="2" fillId="0" borderId="0"/>
    <xf numFmtId="164" fontId="4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164" fontId="0" fillId="0" borderId="0" xfId="2" applyFont="1"/>
    <xf numFmtId="164" fontId="1" fillId="0" borderId="0" xfId="2" applyFont="1"/>
    <xf numFmtId="0" fontId="1" fillId="0" borderId="0" xfId="0" applyFont="1" applyAlignment="1">
      <alignment wrapText="1"/>
    </xf>
    <xf numFmtId="0" fontId="7" fillId="0" borderId="0" xfId="1" applyFont="1"/>
    <xf numFmtId="0" fontId="7" fillId="2" borderId="0" xfId="1" applyFont="1" applyFill="1"/>
    <xf numFmtId="0" fontId="0" fillId="2" borderId="0" xfId="0" applyFill="1"/>
    <xf numFmtId="0" fontId="8" fillId="0" borderId="0" xfId="0" applyFont="1"/>
    <xf numFmtId="164" fontId="0" fillId="0" borderId="0" xfId="2" applyFont="1" applyBorder="1"/>
    <xf numFmtId="166" fontId="0" fillId="0" borderId="0" xfId="0" applyNumberFormat="1"/>
    <xf numFmtId="0" fontId="1" fillId="0" borderId="1" xfId="0" applyFont="1" applyBorder="1"/>
    <xf numFmtId="165" fontId="0" fillId="0" borderId="4" xfId="2" applyNumberFormat="1" applyFont="1" applyBorder="1"/>
    <xf numFmtId="165" fontId="0" fillId="0" borderId="5" xfId="2" applyNumberFormat="1" applyFont="1" applyBorder="1"/>
    <xf numFmtId="165" fontId="1" fillId="0" borderId="6" xfId="2" applyNumberFormat="1" applyFont="1" applyBorder="1"/>
    <xf numFmtId="165" fontId="0" fillId="0" borderId="1" xfId="2" applyNumberFormat="1" applyFont="1" applyBorder="1"/>
    <xf numFmtId="165" fontId="0" fillId="0" borderId="2" xfId="2" applyNumberFormat="1" applyFont="1" applyBorder="1"/>
    <xf numFmtId="165" fontId="1" fillId="0" borderId="3" xfId="2" applyNumberFormat="1" applyFont="1" applyBorder="1"/>
    <xf numFmtId="0" fontId="1" fillId="0" borderId="4" xfId="0" applyFont="1" applyBorder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65" fontId="0" fillId="0" borderId="3" xfId="2" applyNumberFormat="1" applyFont="1" applyBorder="1"/>
    <xf numFmtId="165" fontId="0" fillId="0" borderId="6" xfId="2" applyNumberFormat="1" applyFont="1" applyBorder="1"/>
    <xf numFmtId="0" fontId="7" fillId="2" borderId="8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top"/>
    </xf>
    <xf numFmtId="0" fontId="3" fillId="0" borderId="11" xfId="1" applyFont="1" applyBorder="1" applyAlignment="1">
      <alignment horizontal="center" vertical="top"/>
    </xf>
    <xf numFmtId="0" fontId="3" fillId="0" borderId="12" xfId="1" applyFont="1" applyBorder="1" applyAlignment="1">
      <alignment horizontal="center" vertical="top"/>
    </xf>
    <xf numFmtId="0" fontId="3" fillId="0" borderId="13" xfId="1" applyFont="1" applyBorder="1" applyAlignment="1">
      <alignment horizontal="center" vertical="top"/>
    </xf>
    <xf numFmtId="0" fontId="3" fillId="0" borderId="14" xfId="1" applyFont="1" applyBorder="1" applyAlignment="1">
      <alignment horizontal="center" vertical="top"/>
    </xf>
    <xf numFmtId="0" fontId="3" fillId="0" borderId="15" xfId="1" applyFont="1" applyBorder="1" applyAlignment="1">
      <alignment horizontal="center" vertical="top"/>
    </xf>
    <xf numFmtId="0" fontId="3" fillId="0" borderId="16" xfId="1" applyFont="1" applyBorder="1" applyAlignment="1">
      <alignment horizontal="center" vertical="top"/>
    </xf>
    <xf numFmtId="0" fontId="3" fillId="0" borderId="17" xfId="1" applyFont="1" applyBorder="1" applyAlignment="1">
      <alignment horizontal="center" vertical="top"/>
    </xf>
    <xf numFmtId="0" fontId="3" fillId="0" borderId="18" xfId="1" applyFont="1" applyBorder="1" applyAlignment="1">
      <alignment horizontal="center" vertical="top"/>
    </xf>
    <xf numFmtId="0" fontId="3" fillId="0" borderId="10" xfId="1" applyFont="1" applyBorder="1" applyAlignment="1">
      <alignment vertical="top"/>
    </xf>
    <xf numFmtId="0" fontId="3" fillId="0" borderId="13" xfId="1" applyFont="1" applyBorder="1" applyAlignment="1">
      <alignment vertical="top"/>
    </xf>
    <xf numFmtId="0" fontId="3" fillId="0" borderId="16" xfId="1" applyFont="1" applyBorder="1" applyAlignment="1">
      <alignment vertical="top"/>
    </xf>
    <xf numFmtId="0" fontId="4" fillId="0" borderId="0" xfId="0" applyFont="1"/>
    <xf numFmtId="0" fontId="3" fillId="0" borderId="11" xfId="1" applyFont="1" applyBorder="1" applyAlignment="1">
      <alignment vertical="top"/>
    </xf>
    <xf numFmtId="0" fontId="3" fillId="0" borderId="14" xfId="1" applyFont="1" applyBorder="1" applyAlignment="1">
      <alignment vertical="top"/>
    </xf>
    <xf numFmtId="0" fontId="3" fillId="0" borderId="17" xfId="1" applyFont="1" applyBorder="1" applyAlignment="1">
      <alignment vertical="top"/>
    </xf>
    <xf numFmtId="0" fontId="4" fillId="0" borderId="19" xfId="0" applyFont="1" applyBorder="1"/>
    <xf numFmtId="0" fontId="4" fillId="0" borderId="20" xfId="0" applyFont="1" applyBorder="1"/>
  </cellXfs>
  <cellStyles count="3">
    <cellStyle name="Comma" xfId="2" builtinId="3"/>
    <cellStyle name="Normal" xfId="0" builtinId="0"/>
    <cellStyle name="Normal 2" xfId="1" xr:uid="{0C9556CF-7986-4846-AEC7-4C94321A40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28F6-F8BF-4248-AF56-9B67DAE6FE48}">
  <dimension ref="A1:G11"/>
  <sheetViews>
    <sheetView showGridLines="0" workbookViewId="0"/>
  </sheetViews>
  <sheetFormatPr defaultColWidth="11.42578125" defaultRowHeight="15" x14ac:dyDescent="0.25"/>
  <cols>
    <col min="2" max="2" width="13.140625" bestFit="1" customWidth="1"/>
    <col min="3" max="4" width="14.140625" bestFit="1" customWidth="1"/>
    <col min="5" max="6" width="13.140625" bestFit="1" customWidth="1"/>
    <col min="7" max="7" width="14.140625" bestFit="1" customWidth="1"/>
  </cols>
  <sheetData>
    <row r="1" spans="1:7" x14ac:dyDescent="0.25">
      <c r="A1" s="6" t="s">
        <v>77</v>
      </c>
      <c r="B1" s="7"/>
    </row>
    <row r="2" spans="1:7" ht="15.75" thickBot="1" x14ac:dyDescent="0.3"/>
    <row r="3" spans="1:7" ht="15.75" thickBot="1" x14ac:dyDescent="0.3">
      <c r="B3" s="19" t="s">
        <v>47</v>
      </c>
      <c r="C3" s="20" t="s">
        <v>48</v>
      </c>
      <c r="D3" s="21" t="s">
        <v>49</v>
      </c>
      <c r="E3" s="20" t="s">
        <v>50</v>
      </c>
      <c r="F3" s="20" t="s">
        <v>51</v>
      </c>
      <c r="G3" s="21" t="s">
        <v>52</v>
      </c>
    </row>
    <row r="4" spans="1:7" x14ac:dyDescent="0.25">
      <c r="A4" s="11" t="s">
        <v>53</v>
      </c>
      <c r="B4" s="15">
        <v>6000000</v>
      </c>
      <c r="C4" s="16">
        <v>8000000</v>
      </c>
      <c r="D4" s="22">
        <v>7000000</v>
      </c>
      <c r="E4" s="16"/>
      <c r="F4" s="16"/>
      <c r="G4" s="17">
        <f>+SUM(B4:F4)</f>
        <v>21000000</v>
      </c>
    </row>
    <row r="5" spans="1:7" ht="15.75" thickBot="1" x14ac:dyDescent="0.3">
      <c r="A5" s="18" t="s">
        <v>54</v>
      </c>
      <c r="B5" s="12">
        <v>0</v>
      </c>
      <c r="C5" s="13">
        <f>+B4*0.6</f>
        <v>3600000</v>
      </c>
      <c r="D5" s="23">
        <f>+B4*0.4+C4*0.6</f>
        <v>7200000</v>
      </c>
      <c r="E5" s="13">
        <f>+C4*0.4+D4*0.6</f>
        <v>7400000</v>
      </c>
      <c r="F5" s="13">
        <f>+D4*0.4</f>
        <v>2800000</v>
      </c>
      <c r="G5" s="14">
        <f>+SUM(B5:F5)</f>
        <v>21000000</v>
      </c>
    </row>
    <row r="6" spans="1:7" x14ac:dyDescent="0.25">
      <c r="A6" s="1"/>
      <c r="B6" s="2"/>
      <c r="C6" s="2"/>
      <c r="D6" s="9"/>
      <c r="E6" s="2"/>
      <c r="F6" s="2"/>
      <c r="G6" s="3"/>
    </row>
    <row r="8" spans="1:7" x14ac:dyDescent="0.25">
      <c r="A8" t="s">
        <v>81</v>
      </c>
      <c r="D8" s="10">
        <f>+G4</f>
        <v>21000000</v>
      </c>
    </row>
    <row r="9" spans="1:7" x14ac:dyDescent="0.25">
      <c r="A9" t="s">
        <v>55</v>
      </c>
    </row>
    <row r="10" spans="1:7" x14ac:dyDescent="0.25">
      <c r="A10" t="s">
        <v>82</v>
      </c>
      <c r="C10" s="10">
        <f>+C5+B5+D5</f>
        <v>10800000</v>
      </c>
    </row>
    <row r="11" spans="1:7" x14ac:dyDescent="0.25">
      <c r="A1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2982-EA13-4B09-9B50-A1DE76CDE680}">
  <dimension ref="A1:D24"/>
  <sheetViews>
    <sheetView showGridLines="0" topLeftCell="A5" workbookViewId="0">
      <selection activeCell="A6" sqref="A6"/>
    </sheetView>
  </sheetViews>
  <sheetFormatPr defaultColWidth="11.42578125" defaultRowHeight="15" x14ac:dyDescent="0.25"/>
  <cols>
    <col min="1" max="1" width="57.42578125" customWidth="1"/>
  </cols>
  <sheetData>
    <row r="1" spans="1:4" x14ac:dyDescent="0.25">
      <c r="A1" s="6" t="s">
        <v>79</v>
      </c>
    </row>
    <row r="3" spans="1:4" x14ac:dyDescent="0.25">
      <c r="A3" s="1" t="s">
        <v>83</v>
      </c>
    </row>
    <row r="4" spans="1:4" ht="15.75" thickBot="1" x14ac:dyDescent="0.3"/>
    <row r="5" spans="1:4" ht="45" x14ac:dyDescent="0.25">
      <c r="A5" s="24" t="s">
        <v>4</v>
      </c>
      <c r="B5" s="24" t="s">
        <v>5</v>
      </c>
      <c r="C5" s="25" t="s">
        <v>84</v>
      </c>
      <c r="D5" s="26" t="s">
        <v>6</v>
      </c>
    </row>
    <row r="6" spans="1:4" x14ac:dyDescent="0.25">
      <c r="A6" s="36" t="s">
        <v>7</v>
      </c>
      <c r="B6" s="27" t="s">
        <v>8</v>
      </c>
      <c r="C6" s="28"/>
      <c r="D6" s="29"/>
    </row>
    <row r="7" spans="1:4" x14ac:dyDescent="0.25">
      <c r="A7" s="37" t="s">
        <v>9</v>
      </c>
      <c r="B7" s="30" t="s">
        <v>8</v>
      </c>
      <c r="C7" s="31"/>
      <c r="D7" s="32"/>
    </row>
    <row r="8" spans="1:4" x14ac:dyDescent="0.25">
      <c r="A8" s="37" t="s">
        <v>10</v>
      </c>
      <c r="B8" s="30"/>
      <c r="C8" s="31" t="s">
        <v>8</v>
      </c>
      <c r="D8" s="32"/>
    </row>
    <row r="9" spans="1:4" x14ac:dyDescent="0.25">
      <c r="A9" s="37" t="s">
        <v>11</v>
      </c>
      <c r="B9" s="30"/>
      <c r="C9" s="31"/>
      <c r="D9" s="32" t="s">
        <v>8</v>
      </c>
    </row>
    <row r="10" spans="1:4" x14ac:dyDescent="0.25">
      <c r="A10" s="37" t="s">
        <v>12</v>
      </c>
      <c r="B10" s="30"/>
      <c r="C10" s="31" t="s">
        <v>8</v>
      </c>
      <c r="D10" s="32"/>
    </row>
    <row r="11" spans="1:4" x14ac:dyDescent="0.25">
      <c r="A11" s="37" t="s">
        <v>13</v>
      </c>
      <c r="B11" s="30" t="s">
        <v>8</v>
      </c>
      <c r="C11" s="31"/>
      <c r="D11" s="32"/>
    </row>
    <row r="12" spans="1:4" x14ac:dyDescent="0.25">
      <c r="A12" s="37" t="s">
        <v>14</v>
      </c>
      <c r="B12" s="30" t="s">
        <v>8</v>
      </c>
      <c r="C12" s="31"/>
      <c r="D12" s="32"/>
    </row>
    <row r="13" spans="1:4" x14ac:dyDescent="0.25">
      <c r="A13" s="37" t="s">
        <v>15</v>
      </c>
      <c r="B13" s="30"/>
      <c r="C13" s="31" t="s">
        <v>8</v>
      </c>
      <c r="D13" s="32"/>
    </row>
    <row r="14" spans="1:4" x14ac:dyDescent="0.25">
      <c r="A14" s="37" t="s">
        <v>16</v>
      </c>
      <c r="B14" s="30" t="s">
        <v>8</v>
      </c>
      <c r="C14" s="31"/>
      <c r="D14" s="32"/>
    </row>
    <row r="15" spans="1:4" x14ac:dyDescent="0.25">
      <c r="A15" s="37" t="s">
        <v>17</v>
      </c>
      <c r="B15" s="30"/>
      <c r="C15" s="31" t="s">
        <v>8</v>
      </c>
      <c r="D15" s="32"/>
    </row>
    <row r="16" spans="1:4" x14ac:dyDescent="0.25">
      <c r="A16" s="37" t="s">
        <v>18</v>
      </c>
      <c r="B16" s="30" t="s">
        <v>8</v>
      </c>
      <c r="C16" s="31"/>
      <c r="D16" s="32"/>
    </row>
    <row r="17" spans="1:4" x14ac:dyDescent="0.25">
      <c r="A17" s="37" t="s">
        <v>19</v>
      </c>
      <c r="B17" s="30" t="s">
        <v>8</v>
      </c>
      <c r="C17" s="31"/>
      <c r="D17" s="32"/>
    </row>
    <row r="18" spans="1:4" x14ac:dyDescent="0.25">
      <c r="A18" s="37" t="s">
        <v>20</v>
      </c>
      <c r="B18" s="30" t="s">
        <v>8</v>
      </c>
      <c r="C18" s="31"/>
      <c r="D18" s="32"/>
    </row>
    <row r="19" spans="1:4" x14ac:dyDescent="0.25">
      <c r="A19" s="37" t="s">
        <v>21</v>
      </c>
      <c r="B19" s="30" t="s">
        <v>8</v>
      </c>
      <c r="C19" s="31"/>
      <c r="D19" s="32"/>
    </row>
    <row r="20" spans="1:4" x14ac:dyDescent="0.25">
      <c r="A20" s="37" t="s">
        <v>22</v>
      </c>
      <c r="B20" s="30" t="s">
        <v>8</v>
      </c>
      <c r="C20" s="31"/>
      <c r="D20" s="32"/>
    </row>
    <row r="21" spans="1:4" x14ac:dyDescent="0.25">
      <c r="A21" s="37" t="s">
        <v>42</v>
      </c>
      <c r="B21" s="30" t="s">
        <v>8</v>
      </c>
      <c r="C21" s="31"/>
      <c r="D21" s="32"/>
    </row>
    <row r="22" spans="1:4" x14ac:dyDescent="0.25">
      <c r="A22" s="37" t="s">
        <v>23</v>
      </c>
      <c r="B22" s="30"/>
      <c r="C22" s="31" t="s">
        <v>8</v>
      </c>
      <c r="D22" s="32"/>
    </row>
    <row r="23" spans="1:4" x14ac:dyDescent="0.25">
      <c r="A23" s="37" t="s">
        <v>24</v>
      </c>
      <c r="B23" s="30"/>
      <c r="C23" s="31" t="s">
        <v>8</v>
      </c>
      <c r="D23" s="32"/>
    </row>
    <row r="24" spans="1:4" ht="15.75" thickBot="1" x14ac:dyDescent="0.3">
      <c r="A24" s="38" t="s">
        <v>85</v>
      </c>
      <c r="B24" s="33" t="s">
        <v>8</v>
      </c>
      <c r="C24" s="34"/>
      <c r="D24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14B1-14F3-4C45-AEC1-EBC30ECDA211}">
  <dimension ref="A1:C26"/>
  <sheetViews>
    <sheetView showGridLines="0" topLeftCell="A6" workbookViewId="0">
      <selection activeCell="A3" sqref="A3:A26"/>
    </sheetView>
  </sheetViews>
  <sheetFormatPr defaultColWidth="10.85546875" defaultRowHeight="15" x14ac:dyDescent="0.25"/>
  <cols>
    <col min="1" max="1" width="69.140625" style="39" customWidth="1"/>
    <col min="2" max="2" width="17.42578125" style="39" customWidth="1"/>
    <col min="3" max="3" width="26.28515625" style="39" bestFit="1" customWidth="1"/>
    <col min="4" max="16384" width="10.85546875" style="39"/>
  </cols>
  <sheetData>
    <row r="1" spans="1:3" x14ac:dyDescent="0.25">
      <c r="A1" s="6" t="s">
        <v>86</v>
      </c>
    </row>
    <row r="2" spans="1:3" ht="15.75" thickBot="1" x14ac:dyDescent="0.3"/>
    <row r="3" spans="1:3" x14ac:dyDescent="0.25">
      <c r="A3" s="24" t="s">
        <v>25</v>
      </c>
      <c r="B3" s="24" t="s">
        <v>26</v>
      </c>
      <c r="C3" s="25" t="s">
        <v>87</v>
      </c>
    </row>
    <row r="4" spans="1:3" x14ac:dyDescent="0.25">
      <c r="A4" s="36" t="s">
        <v>27</v>
      </c>
      <c r="B4" s="36" t="s">
        <v>28</v>
      </c>
      <c r="C4" s="40" t="s">
        <v>61</v>
      </c>
    </row>
    <row r="5" spans="1:3" x14ac:dyDescent="0.25">
      <c r="A5" s="37" t="s">
        <v>100</v>
      </c>
      <c r="B5" s="37" t="s">
        <v>32</v>
      </c>
      <c r="C5" s="41" t="s">
        <v>93</v>
      </c>
    </row>
    <row r="6" spans="1:3" x14ac:dyDescent="0.25">
      <c r="A6" s="37" t="s">
        <v>88</v>
      </c>
      <c r="B6" s="37" t="s">
        <v>30</v>
      </c>
      <c r="C6" s="41" t="s">
        <v>62</v>
      </c>
    </row>
    <row r="7" spans="1:3" x14ac:dyDescent="0.25">
      <c r="A7" s="37" t="s">
        <v>29</v>
      </c>
      <c r="B7" s="37" t="s">
        <v>30</v>
      </c>
      <c r="C7" s="41" t="s">
        <v>31</v>
      </c>
    </row>
    <row r="8" spans="1:3" x14ac:dyDescent="0.25">
      <c r="A8" s="37" t="s">
        <v>34</v>
      </c>
      <c r="B8" s="37" t="s">
        <v>32</v>
      </c>
      <c r="C8" s="41" t="s">
        <v>102</v>
      </c>
    </row>
    <row r="9" spans="1:3" x14ac:dyDescent="0.25">
      <c r="A9" s="37" t="s">
        <v>33</v>
      </c>
      <c r="B9" s="37" t="s">
        <v>30</v>
      </c>
      <c r="C9" s="41" t="s">
        <v>31</v>
      </c>
    </row>
    <row r="10" spans="1:3" x14ac:dyDescent="0.25">
      <c r="A10" s="37" t="s">
        <v>89</v>
      </c>
      <c r="B10" s="37" t="s">
        <v>32</v>
      </c>
      <c r="C10" s="41" t="s">
        <v>63</v>
      </c>
    </row>
    <row r="11" spans="1:3" x14ac:dyDescent="0.25">
      <c r="A11" s="37" t="s">
        <v>94</v>
      </c>
      <c r="B11" s="37" t="s">
        <v>30</v>
      </c>
      <c r="C11" s="41" t="s">
        <v>31</v>
      </c>
    </row>
    <row r="12" spans="1:3" x14ac:dyDescent="0.25">
      <c r="A12" s="37" t="s">
        <v>35</v>
      </c>
      <c r="B12" s="37" t="s">
        <v>30</v>
      </c>
      <c r="C12" s="41" t="s">
        <v>36</v>
      </c>
    </row>
    <row r="13" spans="1:3" x14ac:dyDescent="0.25">
      <c r="A13" s="37" t="s">
        <v>95</v>
      </c>
      <c r="B13" s="37" t="s">
        <v>46</v>
      </c>
      <c r="C13" s="41" t="s">
        <v>46</v>
      </c>
    </row>
    <row r="14" spans="1:3" x14ac:dyDescent="0.25">
      <c r="A14" s="37" t="s">
        <v>43</v>
      </c>
      <c r="B14" s="37" t="s">
        <v>30</v>
      </c>
      <c r="C14" s="41" t="s">
        <v>60</v>
      </c>
    </row>
    <row r="15" spans="1:3" x14ac:dyDescent="0.25">
      <c r="A15" s="37" t="s">
        <v>37</v>
      </c>
      <c r="B15" s="37" t="s">
        <v>30</v>
      </c>
      <c r="C15" s="41" t="s">
        <v>38</v>
      </c>
    </row>
    <row r="16" spans="1:3" x14ac:dyDescent="0.25">
      <c r="A16" s="37" t="s">
        <v>96</v>
      </c>
      <c r="B16" s="37" t="s">
        <v>30</v>
      </c>
      <c r="C16" s="41" t="s">
        <v>36</v>
      </c>
    </row>
    <row r="17" spans="1:3" x14ac:dyDescent="0.25">
      <c r="A17" s="37" t="s">
        <v>97</v>
      </c>
      <c r="B17" s="37" t="s">
        <v>30</v>
      </c>
      <c r="C17" s="41" t="s">
        <v>38</v>
      </c>
    </row>
    <row r="18" spans="1:3" s="43" customFormat="1" x14ac:dyDescent="0.25">
      <c r="A18" s="37" t="s">
        <v>45</v>
      </c>
      <c r="B18" s="37" t="s">
        <v>46</v>
      </c>
      <c r="C18" s="41" t="s">
        <v>46</v>
      </c>
    </row>
    <row r="19" spans="1:3" s="44" customFormat="1" x14ac:dyDescent="0.25">
      <c r="A19" s="37" t="s">
        <v>39</v>
      </c>
      <c r="B19" s="37" t="s">
        <v>32</v>
      </c>
      <c r="C19" s="41" t="s">
        <v>65</v>
      </c>
    </row>
    <row r="20" spans="1:3" x14ac:dyDescent="0.25">
      <c r="A20" s="37" t="s">
        <v>90</v>
      </c>
      <c r="B20" s="37" t="s">
        <v>30</v>
      </c>
      <c r="C20" s="41" t="s">
        <v>60</v>
      </c>
    </row>
    <row r="21" spans="1:3" x14ac:dyDescent="0.25">
      <c r="A21" s="37" t="s">
        <v>91</v>
      </c>
      <c r="B21" s="37" t="s">
        <v>32</v>
      </c>
      <c r="C21" s="41" t="s">
        <v>66</v>
      </c>
    </row>
    <row r="22" spans="1:3" x14ac:dyDescent="0.25">
      <c r="A22" s="37" t="s">
        <v>92</v>
      </c>
      <c r="B22" s="37" t="s">
        <v>30</v>
      </c>
      <c r="C22" s="41" t="s">
        <v>38</v>
      </c>
    </row>
    <row r="23" spans="1:3" x14ac:dyDescent="0.25">
      <c r="A23" s="37" t="s">
        <v>40</v>
      </c>
      <c r="B23" s="37" t="s">
        <v>30</v>
      </c>
      <c r="C23" s="41" t="s">
        <v>64</v>
      </c>
    </row>
    <row r="24" spans="1:3" x14ac:dyDescent="0.25">
      <c r="A24" s="37" t="s">
        <v>99</v>
      </c>
      <c r="B24" s="37" t="s">
        <v>30</v>
      </c>
      <c r="C24" s="41" t="s">
        <v>31</v>
      </c>
    </row>
    <row r="25" spans="1:3" x14ac:dyDescent="0.25">
      <c r="A25" s="37" t="s">
        <v>44</v>
      </c>
      <c r="B25" s="37" t="s">
        <v>32</v>
      </c>
      <c r="C25" s="41" t="s">
        <v>41</v>
      </c>
    </row>
    <row r="26" spans="1:3" ht="15.75" thickBot="1" x14ac:dyDescent="0.3">
      <c r="A26" s="38" t="s">
        <v>98</v>
      </c>
      <c r="B26" s="38" t="s">
        <v>30</v>
      </c>
      <c r="C26" s="4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D2F4-808C-4D23-B8F3-0D8C16F493C2}">
  <dimension ref="A1:B36"/>
  <sheetViews>
    <sheetView showGridLines="0" tabSelected="1" topLeftCell="A9" workbookViewId="0">
      <selection activeCell="A22" sqref="A22"/>
    </sheetView>
  </sheetViews>
  <sheetFormatPr defaultColWidth="11.42578125" defaultRowHeight="15" x14ac:dyDescent="0.25"/>
  <cols>
    <col min="1" max="1" width="119.5703125" customWidth="1"/>
    <col min="2" max="2" width="43.7109375" customWidth="1"/>
  </cols>
  <sheetData>
    <row r="1" spans="1:2" x14ac:dyDescent="0.25">
      <c r="A1" s="6" t="s">
        <v>77</v>
      </c>
      <c r="B1" s="7"/>
    </row>
    <row r="2" spans="1:2" x14ac:dyDescent="0.25">
      <c r="A2" s="5"/>
    </row>
    <row r="3" spans="1:2" x14ac:dyDescent="0.25">
      <c r="A3" s="1" t="s">
        <v>101</v>
      </c>
    </row>
    <row r="4" spans="1:2" x14ac:dyDescent="0.25">
      <c r="A4" s="1"/>
    </row>
    <row r="5" spans="1:2" x14ac:dyDescent="0.25">
      <c r="A5" s="8" t="s">
        <v>69</v>
      </c>
    </row>
    <row r="6" spans="1:2" ht="72.75" customHeight="1" x14ac:dyDescent="0.25">
      <c r="A6" s="4" t="s">
        <v>67</v>
      </c>
    </row>
    <row r="7" spans="1:2" x14ac:dyDescent="0.25">
      <c r="A7" s="4"/>
    </row>
    <row r="8" spans="1:2" x14ac:dyDescent="0.25">
      <c r="A8" s="8" t="s">
        <v>0</v>
      </c>
    </row>
    <row r="9" spans="1:2" ht="75" x14ac:dyDescent="0.25">
      <c r="A9" s="4" t="s">
        <v>56</v>
      </c>
    </row>
    <row r="10" spans="1:2" x14ac:dyDescent="0.25">
      <c r="A10" s="4"/>
    </row>
    <row r="11" spans="1:2" x14ac:dyDescent="0.25">
      <c r="A11" s="8" t="s">
        <v>1</v>
      </c>
    </row>
    <row r="12" spans="1:2" ht="75" x14ac:dyDescent="0.25">
      <c r="A12" s="4" t="s">
        <v>68</v>
      </c>
    </row>
    <row r="13" spans="1:2" x14ac:dyDescent="0.25">
      <c r="A13" s="4"/>
    </row>
    <row r="14" spans="1:2" x14ac:dyDescent="0.25">
      <c r="A14" s="8" t="s">
        <v>70</v>
      </c>
    </row>
    <row r="15" spans="1:2" ht="72" customHeight="1" x14ac:dyDescent="0.25">
      <c r="A15" s="4" t="s">
        <v>103</v>
      </c>
    </row>
    <row r="16" spans="1:2" x14ac:dyDescent="0.25">
      <c r="A16" s="4"/>
    </row>
    <row r="17" spans="1:1" x14ac:dyDescent="0.25">
      <c r="A17" s="8" t="s">
        <v>78</v>
      </c>
    </row>
    <row r="18" spans="1:1" ht="75" x14ac:dyDescent="0.25">
      <c r="A18" s="4" t="s">
        <v>104</v>
      </c>
    </row>
    <row r="19" spans="1:1" x14ac:dyDescent="0.25">
      <c r="A19" s="4"/>
    </row>
    <row r="20" spans="1:1" x14ac:dyDescent="0.25">
      <c r="A20" s="8" t="s">
        <v>71</v>
      </c>
    </row>
    <row r="21" spans="1:1" ht="75" x14ac:dyDescent="0.25">
      <c r="A21" s="4" t="s">
        <v>105</v>
      </c>
    </row>
    <row r="22" spans="1:1" x14ac:dyDescent="0.25">
      <c r="A22" s="4"/>
    </row>
    <row r="23" spans="1:1" x14ac:dyDescent="0.25">
      <c r="A23" s="8" t="s">
        <v>72</v>
      </c>
    </row>
    <row r="24" spans="1:1" ht="72.599999999999994" customHeight="1" x14ac:dyDescent="0.25">
      <c r="A24" s="4" t="s">
        <v>73</v>
      </c>
    </row>
    <row r="25" spans="1:1" x14ac:dyDescent="0.25">
      <c r="A25" s="4"/>
    </row>
    <row r="26" spans="1:1" x14ac:dyDescent="0.25">
      <c r="A26" s="8" t="s">
        <v>74</v>
      </c>
    </row>
    <row r="27" spans="1:1" ht="75" x14ac:dyDescent="0.25">
      <c r="A27" s="4" t="s">
        <v>57</v>
      </c>
    </row>
    <row r="28" spans="1:1" x14ac:dyDescent="0.25">
      <c r="A28" s="4"/>
    </row>
    <row r="29" spans="1:1" x14ac:dyDescent="0.25">
      <c r="A29" s="8" t="s">
        <v>75</v>
      </c>
    </row>
    <row r="30" spans="1:1" ht="75" x14ac:dyDescent="0.25">
      <c r="A30" s="4" t="s">
        <v>58</v>
      </c>
    </row>
    <row r="31" spans="1:1" x14ac:dyDescent="0.25">
      <c r="A31" s="4"/>
    </row>
    <row r="32" spans="1:1" x14ac:dyDescent="0.25">
      <c r="A32" s="8" t="s">
        <v>2</v>
      </c>
    </row>
    <row r="33" spans="1:1" ht="72.95" customHeight="1" x14ac:dyDescent="0.25">
      <c r="A33" s="4" t="s">
        <v>59</v>
      </c>
    </row>
    <row r="34" spans="1:1" x14ac:dyDescent="0.25">
      <c r="A34" s="4"/>
    </row>
    <row r="35" spans="1:1" x14ac:dyDescent="0.25">
      <c r="A35" s="8" t="s">
        <v>3</v>
      </c>
    </row>
    <row r="36" spans="1:1" ht="75.95" customHeight="1" x14ac:dyDescent="0.25">
      <c r="A36" s="4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Ejercicio 1</vt:lpstr>
      <vt:lpstr>Ejercicio 2</vt:lpstr>
      <vt:lpstr>Ejercicio 3</vt:lpstr>
      <vt:lpstr>Ejercicio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Ferraresi</dc:creator>
  <cp:lastModifiedBy>Profesor Aula</cp:lastModifiedBy>
  <dcterms:created xsi:type="dcterms:W3CDTF">2022-09-09T02:07:10Z</dcterms:created>
  <dcterms:modified xsi:type="dcterms:W3CDTF">2025-08-22T21:51:14Z</dcterms:modified>
</cp:coreProperties>
</file>